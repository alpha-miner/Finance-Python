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itHub\coding\finance-Python\excel\"/>
    </mc:Choice>
  </mc:AlternateContent>
  <bookViews>
    <workbookView minimized="1" xWindow="1335" yWindow="-20325" windowWidth="21270" windowHeight="12585" tabRatio="500" activeTab="1"/>
  </bookViews>
  <sheets>
    <sheet name="SABR" sheetId="1" r:id="rId1"/>
    <sheet name="SVI" sheetId="2" r:id="rId2"/>
    <sheet name="Sample Market Data" sheetId="3" r:id="rId3"/>
  </sheets>
  <functionGroups builtInGroupCount="18">
    <functionGroup name="xlwings"/>
  </functionGroups>
  <calcPr calcId="162913" calcOnSave="0"/>
  <extLst>
    <ext xmlns:x14="http://schemas.microsoft.com/office/spreadsheetml/2009/9/main" uri="{8193D73E-4604-4355-AFF4-8A2333D13BE4}">
      <x14:definedNames>
        <x14:definedName name="sabrCalibration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sabrVolatilities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sabrVolatility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sviCalibration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sviVolatilities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viVolatility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5" i="2" l="1"/>
  <c r="B14" i="3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I15" i="2" a="1"/>
  <c r="I14" i="3"/>
  <c r="B19" i="3" a="1"/>
  <c r="I15" i="2" l="1"/>
  <c r="L19" i="3"/>
  <c r="J19" i="3"/>
  <c r="I19" i="3"/>
  <c r="N19" i="3"/>
  <c r="D19" i="3"/>
  <c r="B19" i="3"/>
  <c r="G19" i="3"/>
  <c r="M19" i="3"/>
  <c r="K19" i="3"/>
  <c r="E19" i="3"/>
  <c r="C19" i="3"/>
  <c r="F19" i="3"/>
  <c r="H19" i="3"/>
  <c r="C17" i="1"/>
  <c r="D17" i="1"/>
  <c r="E17" i="1"/>
  <c r="F17" i="1"/>
  <c r="G17" i="1"/>
  <c r="H17" i="1"/>
  <c r="I17" i="1"/>
  <c r="J17" i="1"/>
  <c r="K17" i="1"/>
  <c r="L17" i="1"/>
  <c r="M17" i="1"/>
  <c r="N17" i="1"/>
  <c r="B17" i="1"/>
  <c r="A25" i="2" a="1"/>
  <c r="I14" i="1"/>
  <c r="B20" i="2" a="1"/>
  <c r="A25" i="2" l="1"/>
  <c r="B20" i="2"/>
  <c r="F20" i="2"/>
  <c r="J20" i="2"/>
  <c r="N20" i="2"/>
  <c r="K20" i="2"/>
  <c r="I20" i="2"/>
  <c r="D20" i="2"/>
  <c r="L20" i="2"/>
  <c r="E20" i="2"/>
  <c r="C20" i="2"/>
  <c r="G20" i="2"/>
  <c r="H20" i="2"/>
  <c r="M20" i="2"/>
  <c r="B19" i="1" a="1"/>
  <c r="J19" i="1" l="1"/>
  <c r="B19" i="1"/>
  <c r="M19" i="1"/>
  <c r="F19" i="1"/>
  <c r="G19" i="1"/>
  <c r="C19" i="1"/>
  <c r="L19" i="1"/>
  <c r="N19" i="1"/>
  <c r="K19" i="1"/>
  <c r="I19" i="1"/>
  <c r="H19" i="1"/>
  <c r="D19" i="1"/>
  <c r="E19" i="1"/>
</calcChain>
</file>

<file path=xl/sharedStrings.xml><?xml version="1.0" encoding="utf-8"?>
<sst xmlns="http://schemas.openxmlformats.org/spreadsheetml/2006/main" count="74" uniqueCount="33">
  <si>
    <t>Fwd Price</t>
    <phoneticPr fontId="2" type="noConversion"/>
  </si>
  <si>
    <t>ATM Volatility</t>
    <phoneticPr fontId="2" type="noConversion"/>
  </si>
  <si>
    <t>Strike(K)</t>
    <phoneticPr fontId="2" type="noConversion"/>
  </si>
  <si>
    <t>Moneyness(K/S)</t>
    <phoneticPr fontId="2" type="noConversion"/>
  </si>
  <si>
    <t>Maturity</t>
    <phoneticPr fontId="2" type="noConversion"/>
  </si>
  <si>
    <t>Quote Date</t>
    <phoneticPr fontId="2" type="noConversion"/>
  </si>
  <si>
    <t>Sport Price</t>
    <phoneticPr fontId="2" type="noConversion"/>
  </si>
  <si>
    <t>Risk Free</t>
    <phoneticPr fontId="2" type="noConversion"/>
  </si>
  <si>
    <t>Divident Yield(q)</t>
    <phoneticPr fontId="2" type="noConversion"/>
  </si>
  <si>
    <t>ImpliedVol_Quotes</t>
    <phoneticPr fontId="2" type="noConversion"/>
  </si>
  <si>
    <t>Alpha</t>
    <phoneticPr fontId="2" type="noConversion"/>
  </si>
  <si>
    <t>Beta</t>
    <phoneticPr fontId="2" type="noConversion"/>
  </si>
  <si>
    <t>Nu</t>
    <phoneticPr fontId="2" type="noConversion"/>
  </si>
  <si>
    <t>Rho</t>
    <phoneticPr fontId="2" type="noConversion"/>
  </si>
  <si>
    <t>Initial Guess</t>
    <phoneticPr fontId="2" type="noConversion"/>
  </si>
  <si>
    <t>ImpliedVol_SABR</t>
    <phoneticPr fontId="2" type="noConversion"/>
  </si>
  <si>
    <t>Calibrated</t>
    <phoneticPr fontId="2" type="noConversion"/>
  </si>
  <si>
    <t>Expiry</t>
    <phoneticPr fontId="2" type="noConversion"/>
  </si>
  <si>
    <t>IsFixedAlpha</t>
    <phoneticPr fontId="2" type="noConversion"/>
  </si>
  <si>
    <t>IsFixedBeta</t>
    <phoneticPr fontId="2" type="noConversion"/>
  </si>
  <si>
    <t>IsFixedNu</t>
    <phoneticPr fontId="2" type="noConversion"/>
  </si>
  <si>
    <t>IsFixedRho</t>
    <phoneticPr fontId="2" type="noConversion"/>
  </si>
  <si>
    <t>Model Calibration Spec</t>
    <phoneticPr fontId="2" type="noConversion"/>
  </si>
  <si>
    <t>Build IV Skew</t>
    <phoneticPr fontId="2" type="noConversion"/>
  </si>
  <si>
    <t>IsFixedA</t>
    <phoneticPr fontId="2" type="noConversion"/>
  </si>
  <si>
    <t>IsFixedB</t>
    <phoneticPr fontId="2" type="noConversion"/>
  </si>
  <si>
    <t>IsFixedSigma</t>
    <phoneticPr fontId="2" type="noConversion"/>
  </si>
  <si>
    <t>isFixedM</t>
    <phoneticPr fontId="2" type="noConversion"/>
  </si>
  <si>
    <t>a</t>
    <phoneticPr fontId="2" type="noConversion"/>
  </si>
  <si>
    <t>b</t>
    <phoneticPr fontId="2" type="noConversion"/>
  </si>
  <si>
    <t>sigma</t>
    <phoneticPr fontId="2" type="noConversion"/>
  </si>
  <si>
    <t>m</t>
    <phoneticPr fontId="2" type="noConversion"/>
  </si>
  <si>
    <t>ImpliedVol_SVI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</si>
</sst>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0.00_);[Red]\(0.00\)"/>
    <numFmt numFmtId="177" formatCode="0.0000_);[Red]\(0.0000\)"/>
  </numFmts>
  <fonts count="5" x14ac:knownFonts="1">
    <font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2">
    <xf numFmtId="0" fontId="0" fillId="0" borderId="0" xfId="0"/>
    <xf numFmtId="10" fontId="3" fillId="0" borderId="0" xfId="2" applyNumberFormat="1" applyFont="1" applyAlignment="1">
      <alignment horizontal="right"/>
    </xf>
    <xf numFmtId="176" fontId="3" fillId="0" borderId="0" xfId="0" applyNumberFormat="1" applyFont="1" applyAlignment="1">
      <alignment horizontal="right"/>
    </xf>
    <xf numFmtId="176" fontId="3" fillId="0" borderId="0" xfId="1" applyNumberFormat="1" applyFont="1" applyAlignment="1">
      <alignment horizontal="right"/>
    </xf>
    <xf numFmtId="176" fontId="3" fillId="0" borderId="0" xfId="2" applyNumberFormat="1" applyFont="1" applyAlignment="1">
      <alignment horizontal="right"/>
    </xf>
    <xf numFmtId="176" fontId="4" fillId="2" borderId="0" xfId="0" applyNumberFormat="1" applyFont="1" applyFill="1" applyAlignment="1">
      <alignment horizontal="right"/>
    </xf>
    <xf numFmtId="177" fontId="3" fillId="0" borderId="0" xfId="0" applyNumberFormat="1" applyFont="1" applyAlignment="1">
      <alignment horizontal="right"/>
    </xf>
    <xf numFmtId="177" fontId="3" fillId="0" borderId="0" xfId="2" applyNumberFormat="1" applyFont="1" applyAlignment="1">
      <alignment horizontal="right"/>
    </xf>
    <xf numFmtId="9" fontId="3" fillId="0" borderId="0" xfId="2" applyFont="1" applyAlignment="1">
      <alignment horizontal="right"/>
    </xf>
    <xf numFmtId="176" fontId="3" fillId="3" borderId="0" xfId="0" applyNumberFormat="1" applyFont="1" applyFill="1" applyAlignment="1">
      <alignment horizontal="right"/>
    </xf>
    <xf numFmtId="14" fontId="3" fillId="0" borderId="0" xfId="0" applyNumberFormat="1" applyFont="1" applyAlignment="1">
      <alignment horizontal="right"/>
    </xf>
    <xf numFmtId="10" fontId="0" fillId="0" borderId="0" xfId="2" applyNumberFormat="1" applyFont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SABR!$A$18</c:f>
              <c:strCache>
                <c:ptCount val="1"/>
                <c:pt idx="0">
                  <c:v>ImpliedVol_Quotes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SABR!$B$18:$N$18</c:f>
              <c:numCache>
                <c:formatCode>0.00%</c:formatCode>
                <c:ptCount val="13"/>
                <c:pt idx="0">
                  <c:v>0.57279999999999998</c:v>
                </c:pt>
                <c:pt idx="1">
                  <c:v>0.44579999999999997</c:v>
                </c:pt>
                <c:pt idx="2">
                  <c:v>0.35870000000000002</c:v>
                </c:pt>
                <c:pt idx="3">
                  <c:v>0.29970000000000002</c:v>
                </c:pt>
                <c:pt idx="4">
                  <c:v>0.26079999999999998</c:v>
                </c:pt>
                <c:pt idx="5">
                  <c:v>0.2369</c:v>
                </c:pt>
                <c:pt idx="6">
                  <c:v>0.224</c:v>
                </c:pt>
                <c:pt idx="7">
                  <c:v>0.21940000000000001</c:v>
                </c:pt>
                <c:pt idx="8">
                  <c:v>0.22120000000000001</c:v>
                </c:pt>
                <c:pt idx="9">
                  <c:v>0.22770000000000001</c:v>
                </c:pt>
                <c:pt idx="10">
                  <c:v>0.23810000000000001</c:v>
                </c:pt>
                <c:pt idx="11">
                  <c:v>0.25140000000000001</c:v>
                </c:pt>
                <c:pt idx="12">
                  <c:v>0.2671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6-47DC-94C3-5B5B7B5C3E4C}"/>
            </c:ext>
          </c:extLst>
        </c:ser>
        <c:ser>
          <c:idx val="1"/>
          <c:order val="1"/>
          <c:tx>
            <c:strRef>
              <c:f>SABR!$A$19</c:f>
              <c:strCache>
                <c:ptCount val="1"/>
                <c:pt idx="0">
                  <c:v>ImpliedVol_SABR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SABR!$B$19:$N$19</c:f>
              <c:numCache>
                <c:formatCode>0.00%</c:formatCode>
                <c:ptCount val="13"/>
                <c:pt idx="0">
                  <c:v>0.52235777904988834</c:v>
                </c:pt>
                <c:pt idx="1">
                  <c:v>0.44894564880427879</c:v>
                </c:pt>
                <c:pt idx="2">
                  <c:v>0.38636308829130445</c:v>
                </c:pt>
                <c:pt idx="3">
                  <c:v>0.33141538711539942</c:v>
                </c:pt>
                <c:pt idx="4">
                  <c:v>0.28264395550850946</c:v>
                </c:pt>
                <c:pt idx="5">
                  <c:v>0.24048640393290022</c:v>
                </c:pt>
                <c:pt idx="6">
                  <c:v>0.20916090121103251</c:v>
                </c:pt>
                <c:pt idx="7">
                  <c:v>0.19744419568000465</c:v>
                </c:pt>
                <c:pt idx="8">
                  <c:v>0.20572133169519968</c:v>
                </c:pt>
                <c:pt idx="9">
                  <c:v>0.22323084734304838</c:v>
                </c:pt>
                <c:pt idx="10">
                  <c:v>0.24306708897588342</c:v>
                </c:pt>
                <c:pt idx="11">
                  <c:v>0.26280885866145487</c:v>
                </c:pt>
                <c:pt idx="12">
                  <c:v>0.28171147334923469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6-47DC-94C3-5B5B7B5C3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3528"/>
        <c:axId val="363586152"/>
      </c:lineChart>
      <c:catAx>
        <c:axId val="36358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Moneyness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6152"/>
        <c:crosses val="autoZero"/>
        <c:auto val="1"/>
        <c:lblAlgn val="ctr"/>
        <c:lblOffset val="100"/>
        <c:noMultiLvlLbl val="0"/>
      </c:catAx>
      <c:valAx>
        <c:axId val="36358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29958331479751"/>
          <c:y val="9.1236695806724957E-2"/>
          <c:w val="0.83175126414282963"/>
          <c:h val="0.7752067704135408"/>
        </c:manualLayout>
      </c:layout>
      <c:lineChart>
        <c:grouping val="standard"/>
        <c:varyColors val="0"/>
        <c:ser>
          <c:idx val="1"/>
          <c:order val="0"/>
          <c:tx>
            <c:strRef>
              <c:f>SVI!$A$20</c:f>
              <c:strCache>
                <c:ptCount val="1"/>
                <c:pt idx="0">
                  <c:v>ImpliedVol_SVI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SVI!$B$17:$N$17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SVI!$B$20:$N$20</c:f>
              <c:numCache>
                <c:formatCode>0.00%</c:formatCode>
                <c:ptCount val="13"/>
                <c:pt idx="0">
                  <c:v>1.0327687404694141</c:v>
                </c:pt>
                <c:pt idx="1">
                  <c:v>0.8669166563879136</c:v>
                </c:pt>
                <c:pt idx="2">
                  <c:v>0.70561929147808522</c:v>
                </c:pt>
                <c:pt idx="3">
                  <c:v>0.54043597635077378</c:v>
                </c:pt>
                <c:pt idx="4">
                  <c:v>0.37441733520097431</c:v>
                </c:pt>
                <c:pt idx="5">
                  <c:v>0.28723993168485951</c:v>
                </c:pt>
                <c:pt idx="6">
                  <c:v>0.32690614128990081</c:v>
                </c:pt>
                <c:pt idx="7">
                  <c:v>0.39191986564462311</c:v>
                </c:pt>
                <c:pt idx="8">
                  <c:v>0.45091628216733326</c:v>
                </c:pt>
                <c:pt idx="9">
                  <c:v>0.50173189490478864</c:v>
                </c:pt>
                <c:pt idx="10">
                  <c:v>0.54571277467025237</c:v>
                </c:pt>
                <c:pt idx="11">
                  <c:v>0.58426247591099445</c:v>
                </c:pt>
                <c:pt idx="12">
                  <c:v>0.61847429811120702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AC-434A-8AB2-8E44E7ED0C3A}"/>
            </c:ext>
          </c:extLst>
        </c:ser>
        <c:ser>
          <c:idx val="0"/>
          <c:order val="1"/>
          <c:tx>
            <c:strRef>
              <c:f>SVI!$A$19</c:f>
              <c:strCache>
                <c:ptCount val="1"/>
                <c:pt idx="0">
                  <c:v>ImpliedVol_Quotes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SVI!$B$17:$N$17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SVI!$B$19:$N$19</c:f>
              <c:numCache>
                <c:formatCode>0.00%</c:formatCode>
                <c:ptCount val="13"/>
                <c:pt idx="0">
                  <c:v>1.1000000000000001</c:v>
                </c:pt>
                <c:pt idx="1">
                  <c:v>0.8</c:v>
                </c:pt>
                <c:pt idx="2">
                  <c:v>0.75</c:v>
                </c:pt>
                <c:pt idx="3">
                  <c:v>0.45</c:v>
                </c:pt>
                <c:pt idx="4">
                  <c:v>0.38</c:v>
                </c:pt>
                <c:pt idx="5">
                  <c:v>0.35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0.6</c:v>
                </c:pt>
                <c:pt idx="1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3E-44C0-B2D1-0D920AA9B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3528"/>
        <c:axId val="363586152"/>
      </c:lineChart>
      <c:catAx>
        <c:axId val="36358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Moneyness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6152"/>
        <c:crosses val="autoZero"/>
        <c:auto val="1"/>
        <c:lblAlgn val="ctr"/>
        <c:lblOffset val="100"/>
        <c:noMultiLvlLbl val="0"/>
      </c:catAx>
      <c:valAx>
        <c:axId val="36358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4503907350564231"/>
          <c:y val="2.3622047244094488E-2"/>
          <c:w val="0.43973100820024613"/>
          <c:h val="4.66172732345464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SABR!$A$18</c:f>
              <c:strCache>
                <c:ptCount val="1"/>
                <c:pt idx="0">
                  <c:v>ImpliedVol_Quotes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'Sample Market Data'!$B$18:$N$18</c:f>
              <c:numCache>
                <c:formatCode>0.00%</c:formatCode>
                <c:ptCount val="13"/>
                <c:pt idx="0">
                  <c:v>1.1000000000000001</c:v>
                </c:pt>
                <c:pt idx="1">
                  <c:v>0.8</c:v>
                </c:pt>
                <c:pt idx="2">
                  <c:v>0.75</c:v>
                </c:pt>
                <c:pt idx="3">
                  <c:v>0.45</c:v>
                </c:pt>
                <c:pt idx="4">
                  <c:v>0.38</c:v>
                </c:pt>
                <c:pt idx="5">
                  <c:v>0.35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0.6</c:v>
                </c:pt>
                <c:pt idx="12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03-43EE-A7A4-2FFA8F42FAAD}"/>
            </c:ext>
          </c:extLst>
        </c:ser>
        <c:ser>
          <c:idx val="1"/>
          <c:order val="1"/>
          <c:tx>
            <c:strRef>
              <c:f>'Sample Market Data'!$A$19</c:f>
              <c:strCache>
                <c:ptCount val="1"/>
                <c:pt idx="0">
                  <c:v>ImpliedVol_SABR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'Sample Market Data'!$B$19:$N$19</c:f>
              <c:numCache>
                <c:formatCode>0.00%</c:formatCode>
                <c:ptCount val="13"/>
                <c:pt idx="0">
                  <c:v>1.0465848150713981</c:v>
                </c:pt>
                <c:pt idx="1">
                  <c:v>0.85261581474829362</c:v>
                </c:pt>
                <c:pt idx="2">
                  <c:v>0.6887531436054265</c:v>
                </c:pt>
                <c:pt idx="3">
                  <c:v>0.5455447348115614</c:v>
                </c:pt>
                <c:pt idx="4">
                  <c:v>0.41779425197821823</c:v>
                </c:pt>
                <c:pt idx="5">
                  <c:v>0.30760979779592962</c:v>
                </c:pt>
                <c:pt idx="6">
                  <c:v>0.26500107342660484</c:v>
                </c:pt>
                <c:pt idx="7">
                  <c:v>0.33631560515916581</c:v>
                </c:pt>
                <c:pt idx="8">
                  <c:v>0.41907350362606222</c:v>
                </c:pt>
                <c:pt idx="9">
                  <c:v>0.49237006203293265</c:v>
                </c:pt>
                <c:pt idx="10">
                  <c:v>0.55671681096748693</c:v>
                </c:pt>
                <c:pt idx="11">
                  <c:v>0.61376129893549136</c:v>
                </c:pt>
                <c:pt idx="12">
                  <c:v>0.66485705436440612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03-43EE-A7A4-2FFA8F42F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3528"/>
        <c:axId val="363586152"/>
      </c:lineChart>
      <c:catAx>
        <c:axId val="36358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Moneyness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6152"/>
        <c:crosses val="autoZero"/>
        <c:auto val="1"/>
        <c:lblAlgn val="ctr"/>
        <c:lblOffset val="100"/>
        <c:noMultiLvlLbl val="0"/>
      </c:catAx>
      <c:valAx>
        <c:axId val="36358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962024</xdr:colOff>
      <xdr:row>21</xdr:row>
      <xdr:rowOff>28575</xdr:rowOff>
    </xdr:from>
    <xdr:to>
      <xdr:col>8</xdr:col>
      <xdr:colOff>295274</xdr:colOff>
      <xdr:row>43</xdr:row>
      <xdr:rowOff>47625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F376C69-A3EB-4D93-88C2-84F15E70E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723900</xdr:colOff>
      <xdr:row>23</xdr:row>
      <xdr:rowOff>9525</xdr:rowOff>
    </xdr:from>
    <xdr:to>
      <xdr:col>11</xdr:col>
      <xdr:colOff>561975</xdr:colOff>
      <xdr:row>49</xdr:row>
      <xdr:rowOff>104775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26D47DF-DE95-4F41-A891-4D830BA6C9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7</xdr:col>
      <xdr:colOff>609600</xdr:colOff>
      <xdr:row>47</xdr:row>
      <xdr:rowOff>133350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5D96684-2B7B-47D7-A17B-CA336C2470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"/>
  <sheetViews>
    <sheetView topLeftCell="A10" workbookViewId="0">
      <selection activeCell="E12" sqref="E12"/>
    </sheetView>
  </sheetViews>
  <sheetFormatPr defaultColWidth="11" defaultRowHeight="17.25" x14ac:dyDescent="0.3"/>
  <cols>
    <col min="1" max="1" width="25.5" style="2" bestFit="1" customWidth="1"/>
    <col min="2" max="2" width="12.75" style="2" bestFit="1" customWidth="1"/>
    <col min="3" max="7" width="9.625" style="2" bestFit="1" customWidth="1"/>
    <col min="8" max="8" width="13.625" style="2" bestFit="1" customWidth="1"/>
    <col min="9" max="14" width="9.625" style="2" bestFit="1" customWidth="1"/>
    <col min="15" max="16384" width="11" style="2"/>
  </cols>
  <sheetData>
    <row r="1" spans="1:14" x14ac:dyDescent="0.3">
      <c r="A1" s="2" t="s">
        <v>5</v>
      </c>
      <c r="B1" s="10">
        <v>41194</v>
      </c>
    </row>
    <row r="2" spans="1:14" x14ac:dyDescent="0.3">
      <c r="A2" s="2" t="s">
        <v>6</v>
      </c>
      <c r="B2" s="2">
        <v>2304.5300000000002</v>
      </c>
    </row>
    <row r="3" spans="1:14" x14ac:dyDescent="0.3">
      <c r="A3" s="2" t="s">
        <v>7</v>
      </c>
      <c r="B3" s="2">
        <v>3.5000000000000003E-2</v>
      </c>
    </row>
    <row r="4" spans="1:14" x14ac:dyDescent="0.3">
      <c r="A4" s="2" t="s">
        <v>8</v>
      </c>
      <c r="B4" s="2">
        <v>1.37E-2</v>
      </c>
    </row>
    <row r="5" spans="1:14" x14ac:dyDescent="0.3">
      <c r="A5" s="2" t="s">
        <v>17</v>
      </c>
      <c r="B5" s="2">
        <v>3</v>
      </c>
    </row>
    <row r="6" spans="1:14" x14ac:dyDescent="0.3">
      <c r="A6" s="2" t="s">
        <v>22</v>
      </c>
    </row>
    <row r="7" spans="1:14" x14ac:dyDescent="0.3">
      <c r="A7" s="2" t="s">
        <v>18</v>
      </c>
      <c r="B7" s="9" t="b">
        <v>0</v>
      </c>
    </row>
    <row r="8" spans="1:14" x14ac:dyDescent="0.3">
      <c r="A8" s="2" t="s">
        <v>19</v>
      </c>
      <c r="B8" s="9" t="b">
        <v>1</v>
      </c>
    </row>
    <row r="9" spans="1:14" x14ac:dyDescent="0.3">
      <c r="A9" s="2" t="s">
        <v>20</v>
      </c>
      <c r="B9" s="9" t="b">
        <v>0</v>
      </c>
    </row>
    <row r="10" spans="1:14" x14ac:dyDescent="0.3">
      <c r="A10" s="2" t="s">
        <v>21</v>
      </c>
      <c r="B10" s="9" t="b">
        <v>0</v>
      </c>
    </row>
    <row r="12" spans="1:14" ht="18" x14ac:dyDescent="0.35">
      <c r="A12" s="5" t="s">
        <v>23</v>
      </c>
      <c r="I12" s="2" t="s">
        <v>10</v>
      </c>
      <c r="J12" s="2" t="s">
        <v>11</v>
      </c>
      <c r="K12" s="2" t="s">
        <v>12</v>
      </c>
      <c r="L12" s="2" t="s">
        <v>13</v>
      </c>
    </row>
    <row r="13" spans="1:14" x14ac:dyDescent="0.3">
      <c r="A13" s="2" t="s">
        <v>4</v>
      </c>
      <c r="B13" s="10">
        <v>41559</v>
      </c>
      <c r="H13" s="2" t="s">
        <v>14</v>
      </c>
      <c r="I13" s="2">
        <v>0.2</v>
      </c>
      <c r="J13" s="2">
        <v>1</v>
      </c>
      <c r="K13" s="2">
        <v>0.15</v>
      </c>
      <c r="L13" s="2">
        <v>0.3</v>
      </c>
    </row>
    <row r="14" spans="1:14" x14ac:dyDescent="0.3">
      <c r="A14" s="2" t="s">
        <v>0</v>
      </c>
      <c r="B14" s="2">
        <v>2354.143</v>
      </c>
      <c r="H14" s="2" t="s">
        <v>16</v>
      </c>
      <c r="I14" s="3">
        <f>sabrCalibration(B17:N17,B18:N18,B14,B5,I13,J13,K13,L13,B7,B8,B9,B10)</f>
        <v>0.17176243044583658</v>
      </c>
      <c r="J14" s="3">
        <v>1</v>
      </c>
      <c r="K14" s="3">
        <v>1.0385298773225546</v>
      </c>
      <c r="L14" s="3">
        <v>-0.30358213724702732</v>
      </c>
    </row>
    <row r="15" spans="1:14" x14ac:dyDescent="0.3">
      <c r="A15" s="2" t="s">
        <v>1</v>
      </c>
      <c r="B15" s="1">
        <v>0.224</v>
      </c>
    </row>
    <row r="16" spans="1:14" x14ac:dyDescent="0.3">
      <c r="A16" s="2" t="s">
        <v>3</v>
      </c>
      <c r="B16" s="8">
        <v>0.4</v>
      </c>
      <c r="C16" s="8">
        <v>0.5</v>
      </c>
      <c r="D16" s="8">
        <v>0.6</v>
      </c>
      <c r="E16" s="8">
        <v>0.7</v>
      </c>
      <c r="F16" s="8">
        <v>0.8</v>
      </c>
      <c r="G16" s="8">
        <v>0.9</v>
      </c>
      <c r="H16" s="8">
        <v>1</v>
      </c>
      <c r="I16" s="8">
        <v>1.1000000000000001</v>
      </c>
      <c r="J16" s="8">
        <v>1.2</v>
      </c>
      <c r="K16" s="8">
        <v>1.3</v>
      </c>
      <c r="L16" s="8">
        <v>1.4</v>
      </c>
      <c r="M16" s="8">
        <v>1.5</v>
      </c>
      <c r="N16" s="8">
        <v>1.6</v>
      </c>
    </row>
    <row r="17" spans="1:14" x14ac:dyDescent="0.3">
      <c r="A17" s="2" t="s">
        <v>2</v>
      </c>
      <c r="B17" s="3">
        <f>$B$2*B16</f>
        <v>921.81200000000013</v>
      </c>
      <c r="C17" s="3">
        <f t="shared" ref="C17:N17" si="0">$B$2*C16</f>
        <v>1152.2650000000001</v>
      </c>
      <c r="D17" s="3">
        <f t="shared" si="0"/>
        <v>1382.7180000000001</v>
      </c>
      <c r="E17" s="3">
        <f t="shared" si="0"/>
        <v>1613.171</v>
      </c>
      <c r="F17" s="3">
        <f t="shared" si="0"/>
        <v>1843.6240000000003</v>
      </c>
      <c r="G17" s="3">
        <f t="shared" si="0"/>
        <v>2074.0770000000002</v>
      </c>
      <c r="H17" s="3">
        <f t="shared" si="0"/>
        <v>2304.5300000000002</v>
      </c>
      <c r="I17" s="3">
        <f t="shared" si="0"/>
        <v>2534.9830000000006</v>
      </c>
      <c r="J17" s="3">
        <f t="shared" si="0"/>
        <v>2765.4360000000001</v>
      </c>
      <c r="K17" s="3">
        <f t="shared" si="0"/>
        <v>2995.8890000000006</v>
      </c>
      <c r="L17" s="3">
        <f t="shared" si="0"/>
        <v>3226.3420000000001</v>
      </c>
      <c r="M17" s="3">
        <f t="shared" si="0"/>
        <v>3456.7950000000001</v>
      </c>
      <c r="N17" s="3">
        <f t="shared" si="0"/>
        <v>3687.2480000000005</v>
      </c>
    </row>
    <row r="18" spans="1:14" x14ac:dyDescent="0.3">
      <c r="A18" s="2" t="s">
        <v>9</v>
      </c>
      <c r="B18" s="1">
        <v>0.57279999999999998</v>
      </c>
      <c r="C18" s="1">
        <v>0.44579999999999997</v>
      </c>
      <c r="D18" s="1">
        <v>0.35870000000000002</v>
      </c>
      <c r="E18" s="1">
        <v>0.29970000000000002</v>
      </c>
      <c r="F18" s="1">
        <v>0.26079999999999998</v>
      </c>
      <c r="G18" s="1">
        <v>0.2369</v>
      </c>
      <c r="H18" s="1">
        <v>0.224</v>
      </c>
      <c r="I18" s="1">
        <v>0.21940000000000001</v>
      </c>
      <c r="J18" s="1">
        <v>0.22120000000000001</v>
      </c>
      <c r="K18" s="1">
        <v>0.22770000000000001</v>
      </c>
      <c r="L18" s="1">
        <v>0.23810000000000001</v>
      </c>
      <c r="M18" s="1">
        <v>0.25140000000000001</v>
      </c>
      <c r="N18" s="1">
        <v>0.2671</v>
      </c>
    </row>
    <row r="19" spans="1:14" x14ac:dyDescent="0.3">
      <c r="A19" s="2" t="s">
        <v>15</v>
      </c>
      <c r="B19" s="1">
        <f t="array" ref="B19:N19">sabrVolatilities(B17:N17,B14,B5,I14,J14,K14,L14)</f>
        <v>0.52235777904988834</v>
      </c>
      <c r="C19" s="1">
        <v>0.44894564880427879</v>
      </c>
      <c r="D19" s="1">
        <v>0.38636308829130445</v>
      </c>
      <c r="E19" s="1">
        <v>0.33141538711539942</v>
      </c>
      <c r="F19" s="1">
        <v>0.28264395550850946</v>
      </c>
      <c r="G19" s="1">
        <v>0.24048640393290022</v>
      </c>
      <c r="H19" s="1">
        <v>0.20916090121103251</v>
      </c>
      <c r="I19" s="1">
        <v>0.19744419568000465</v>
      </c>
      <c r="J19" s="1">
        <v>0.20572133169519968</v>
      </c>
      <c r="K19" s="1">
        <v>0.22323084734304838</v>
      </c>
      <c r="L19" s="1">
        <v>0.24306708897588342</v>
      </c>
      <c r="M19" s="1">
        <v>0.26280885866145487</v>
      </c>
      <c r="N19" s="1">
        <v>0.28171147334923469</v>
      </c>
    </row>
    <row r="20" spans="1:14" x14ac:dyDescent="0.3">
      <c r="B20" s="4"/>
      <c r="C20" s="4"/>
      <c r="D20" s="4"/>
      <c r="E20" s="4"/>
      <c r="F20" s="4"/>
      <c r="G20" s="4"/>
      <c r="H20" s="7"/>
      <c r="I20" s="4"/>
      <c r="J20" s="4"/>
      <c r="K20" s="4"/>
      <c r="L20" s="4"/>
      <c r="M20" s="4"/>
      <c r="N20" s="4"/>
    </row>
    <row r="24" spans="1:14" x14ac:dyDescent="0.3">
      <c r="H24" s="6"/>
    </row>
  </sheetData>
  <phoneticPr fontId="2" type="noConversion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5"/>
  <sheetViews>
    <sheetView tabSelected="1" topLeftCell="A19" workbookViewId="0">
      <selection activeCell="Q40" sqref="Q40"/>
    </sheetView>
  </sheetViews>
  <sheetFormatPr defaultRowHeight="14.25" x14ac:dyDescent="0.15"/>
  <cols>
    <col min="1" max="1" width="25.5" bestFit="1" customWidth="1"/>
    <col min="2" max="2" width="12.75" bestFit="1" customWidth="1"/>
    <col min="3" max="7" width="9.625" bestFit="1" customWidth="1"/>
    <col min="8" max="8" width="13.625" bestFit="1" customWidth="1"/>
    <col min="9" max="14" width="9.625" bestFit="1" customWidth="1"/>
  </cols>
  <sheetData>
    <row r="1" spans="1:14" ht="17.25" x14ac:dyDescent="0.3">
      <c r="A1" s="2" t="s">
        <v>5</v>
      </c>
      <c r="B1" s="10">
        <v>41194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7.25" x14ac:dyDescent="0.3">
      <c r="A2" s="2" t="s">
        <v>6</v>
      </c>
      <c r="B2" s="2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7.25" x14ac:dyDescent="0.3">
      <c r="A3" s="2" t="s">
        <v>7</v>
      </c>
      <c r="B3" s="2">
        <v>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ht="17.25" x14ac:dyDescent="0.3">
      <c r="A4" s="2" t="s">
        <v>8</v>
      </c>
      <c r="B4" s="2">
        <v>0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t="17.25" x14ac:dyDescent="0.3">
      <c r="A5" s="2" t="s">
        <v>17</v>
      </c>
      <c r="B5" s="2">
        <v>1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t="17.25" x14ac:dyDescent="0.3">
      <c r="A6" s="2" t="s">
        <v>22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17.25" x14ac:dyDescent="0.3">
      <c r="A7" s="2" t="s">
        <v>24</v>
      </c>
      <c r="B7" s="9" t="b">
        <v>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17.25" x14ac:dyDescent="0.3">
      <c r="A8" s="2" t="s">
        <v>25</v>
      </c>
      <c r="B8" s="9" t="b"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ht="17.25" x14ac:dyDescent="0.3">
      <c r="A9" s="2" t="s">
        <v>26</v>
      </c>
      <c r="B9" s="9" t="b"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t="17.25" x14ac:dyDescent="0.3">
      <c r="A10" s="2" t="s">
        <v>21</v>
      </c>
      <c r="B10" s="9" t="b">
        <v>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ht="17.25" x14ac:dyDescent="0.3">
      <c r="A11" s="2" t="s">
        <v>27</v>
      </c>
      <c r="B11" s="9" t="b">
        <v>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t="17.25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ht="18" x14ac:dyDescent="0.35">
      <c r="A13" s="5" t="s">
        <v>23</v>
      </c>
      <c r="B13" s="2"/>
      <c r="C13" s="2"/>
      <c r="D13" s="2"/>
      <c r="E13" s="2"/>
      <c r="F13" s="2"/>
      <c r="G13" s="2"/>
      <c r="H13" s="2"/>
      <c r="I13" s="2" t="s">
        <v>28</v>
      </c>
      <c r="J13" s="2" t="s">
        <v>29</v>
      </c>
      <c r="K13" s="2" t="s">
        <v>30</v>
      </c>
      <c r="L13" s="2" t="s">
        <v>13</v>
      </c>
      <c r="M13" s="2" t="s">
        <v>31</v>
      </c>
      <c r="N13" s="2"/>
    </row>
    <row r="14" spans="1:14" ht="17.25" x14ac:dyDescent="0.3">
      <c r="A14" s="2" t="s">
        <v>4</v>
      </c>
      <c r="B14" s="10">
        <v>41559</v>
      </c>
      <c r="C14" s="2"/>
      <c r="D14" s="2"/>
      <c r="E14" s="2"/>
      <c r="F14" s="2"/>
      <c r="G14" s="2"/>
      <c r="H14" s="2" t="s">
        <v>14</v>
      </c>
      <c r="I14" s="3">
        <v>-4.1000000000000002E-2</v>
      </c>
      <c r="J14" s="3">
        <v>0.1331</v>
      </c>
      <c r="K14" s="3">
        <v>0.4153</v>
      </c>
      <c r="L14" s="3">
        <v>0.30599999999999999</v>
      </c>
      <c r="M14" s="3">
        <v>0.35859999999999997</v>
      </c>
      <c r="N14" s="2"/>
    </row>
    <row r="15" spans="1:14" ht="17.25" x14ac:dyDescent="0.3">
      <c r="A15" s="2" t="s">
        <v>0</v>
      </c>
      <c r="B15" s="2">
        <f>B2</f>
        <v>1</v>
      </c>
      <c r="C15" s="2"/>
      <c r="D15" s="2"/>
      <c r="E15" s="2"/>
      <c r="F15" s="2"/>
      <c r="G15" s="2"/>
      <c r="H15" s="2" t="s">
        <v>16</v>
      </c>
      <c r="I15" s="3">
        <f t="array" ref="I15">sviCalibration(B18:N18,B19:N19,B15,B5,I14,J14,K14,L14,M14,B7,B8,B9,B10,B11)</f>
        <v>-4.1000000000000002E-2</v>
      </c>
      <c r="J15" s="3">
        <v>1.0463830856078438</v>
      </c>
      <c r="K15" s="3">
        <v>0.12684820293213972</v>
      </c>
      <c r="L15" s="3">
        <v>-0.36813863460457474</v>
      </c>
      <c r="M15" s="3">
        <v>-0.15022574008493642</v>
      </c>
      <c r="N15" s="2"/>
    </row>
    <row r="16" spans="1:14" ht="17.25" x14ac:dyDescent="0.3">
      <c r="A16" s="2" t="s">
        <v>1</v>
      </c>
      <c r="B16" s="1">
        <v>0.224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ht="17.25" x14ac:dyDescent="0.3">
      <c r="A17" s="2" t="s">
        <v>3</v>
      </c>
      <c r="B17" s="8">
        <v>0.4</v>
      </c>
      <c r="C17" s="8">
        <v>0.5</v>
      </c>
      <c r="D17" s="8">
        <v>0.6</v>
      </c>
      <c r="E17" s="8">
        <v>0.7</v>
      </c>
      <c r="F17" s="8">
        <v>0.8</v>
      </c>
      <c r="G17" s="8">
        <v>0.9</v>
      </c>
      <c r="H17" s="8">
        <v>1</v>
      </c>
      <c r="I17" s="8">
        <v>1.1000000000000001</v>
      </c>
      <c r="J17" s="8">
        <v>1.2</v>
      </c>
      <c r="K17" s="8">
        <v>1.3</v>
      </c>
      <c r="L17" s="8">
        <v>1.4</v>
      </c>
      <c r="M17" s="8">
        <v>1.5</v>
      </c>
      <c r="N17" s="8">
        <v>1.6</v>
      </c>
    </row>
    <row r="18" spans="1:14" ht="17.25" x14ac:dyDescent="0.3">
      <c r="A18" s="2" t="s">
        <v>2</v>
      </c>
      <c r="B18" s="3">
        <f>$B$2*B17</f>
        <v>0.4</v>
      </c>
      <c r="C18" s="3">
        <f t="shared" ref="C18:N18" si="0">$B$2*C17</f>
        <v>0.5</v>
      </c>
      <c r="D18" s="3">
        <f t="shared" si="0"/>
        <v>0.6</v>
      </c>
      <c r="E18" s="3">
        <f t="shared" si="0"/>
        <v>0.7</v>
      </c>
      <c r="F18" s="3">
        <f t="shared" si="0"/>
        <v>0.8</v>
      </c>
      <c r="G18" s="3">
        <f t="shared" si="0"/>
        <v>0.9</v>
      </c>
      <c r="H18" s="3">
        <f t="shared" si="0"/>
        <v>1</v>
      </c>
      <c r="I18" s="3">
        <f t="shared" si="0"/>
        <v>1.1000000000000001</v>
      </c>
      <c r="J18" s="3">
        <f t="shared" si="0"/>
        <v>1.2</v>
      </c>
      <c r="K18" s="3">
        <f t="shared" si="0"/>
        <v>1.3</v>
      </c>
      <c r="L18" s="3">
        <f t="shared" si="0"/>
        <v>1.4</v>
      </c>
      <c r="M18" s="3">
        <f t="shared" si="0"/>
        <v>1.5</v>
      </c>
      <c r="N18" s="3">
        <f t="shared" si="0"/>
        <v>1.6</v>
      </c>
    </row>
    <row r="19" spans="1:14" ht="17.25" x14ac:dyDescent="0.3">
      <c r="A19" s="2" t="s">
        <v>9</v>
      </c>
      <c r="B19" s="1">
        <v>1.1000000000000001</v>
      </c>
      <c r="C19" s="1">
        <v>0.8</v>
      </c>
      <c r="D19" s="1">
        <v>0.75</v>
      </c>
      <c r="E19" s="1">
        <v>0.45</v>
      </c>
      <c r="F19" s="1">
        <v>0.38</v>
      </c>
      <c r="G19" s="1">
        <v>0.35</v>
      </c>
      <c r="H19" s="1">
        <v>0.3</v>
      </c>
      <c r="I19" s="1">
        <v>0.35</v>
      </c>
      <c r="J19" s="1">
        <v>0.4</v>
      </c>
      <c r="K19" s="1">
        <v>0.45</v>
      </c>
      <c r="L19" s="1">
        <v>0.5</v>
      </c>
      <c r="M19" s="1">
        <v>0.6</v>
      </c>
      <c r="N19" s="1">
        <v>0.75</v>
      </c>
    </row>
    <row r="20" spans="1:14" ht="17.25" x14ac:dyDescent="0.3">
      <c r="A20" s="2" t="s">
        <v>32</v>
      </c>
      <c r="B20" s="1">
        <f t="array" ref="B20:N20">sviVolatilities(B18:N18,B15,B5,I15,J15,K15,L15,M15)</f>
        <v>1.0327687404694141</v>
      </c>
      <c r="C20" s="1">
        <v>0.8669166563879136</v>
      </c>
      <c r="D20" s="1">
        <v>0.70561929147808522</v>
      </c>
      <c r="E20" s="1">
        <v>0.54043597635077378</v>
      </c>
      <c r="F20" s="1">
        <v>0.37441733520097431</v>
      </c>
      <c r="G20" s="1">
        <v>0.28723993168485951</v>
      </c>
      <c r="H20" s="1">
        <v>0.32690614128990081</v>
      </c>
      <c r="I20" s="1">
        <v>0.39191986564462311</v>
      </c>
      <c r="J20" s="1">
        <v>0.45091628216733326</v>
      </c>
      <c r="K20" s="1">
        <v>0.50173189490478864</v>
      </c>
      <c r="L20" s="1">
        <v>0.54571277467025237</v>
      </c>
      <c r="M20" s="1">
        <v>0.58426247591099445</v>
      </c>
      <c r="N20" s="1">
        <v>0.61847429811120702</v>
      </c>
    </row>
    <row r="24" spans="1:14" x14ac:dyDescent="0.15">
      <c r="A24">
        <v>0.65</v>
      </c>
      <c r="B24">
        <v>0.75</v>
      </c>
    </row>
    <row r="25" spans="1:14" ht="17.25" x14ac:dyDescent="0.3">
      <c r="A25" s="11">
        <f t="array" ref="A25">sviVolatilities(A24:B24,B15,B5,I15,J15,K15,L15,M15)</f>
        <v>0.62390429603335562</v>
      </c>
      <c r="B25" s="11">
        <v>0.45570571055795384</v>
      </c>
      <c r="H25" s="1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9"/>
  <sheetViews>
    <sheetView topLeftCell="A4" workbookViewId="0">
      <selection activeCell="I14" sqref="I14"/>
    </sheetView>
  </sheetViews>
  <sheetFormatPr defaultRowHeight="14.25" x14ac:dyDescent="0.15"/>
  <cols>
    <col min="1" max="1" width="25.5" bestFit="1" customWidth="1"/>
    <col min="2" max="2" width="12.75" bestFit="1" customWidth="1"/>
  </cols>
  <sheetData>
    <row r="1" spans="1:14" ht="17.25" x14ac:dyDescent="0.3">
      <c r="A1" s="2" t="s">
        <v>5</v>
      </c>
      <c r="B1" s="10">
        <v>42900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7.25" x14ac:dyDescent="0.3">
      <c r="A2" s="2" t="s">
        <v>6</v>
      </c>
      <c r="B2" s="2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ht="17.25" x14ac:dyDescent="0.3">
      <c r="A3" s="2" t="s">
        <v>7</v>
      </c>
      <c r="B3" s="2">
        <v>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ht="17.25" x14ac:dyDescent="0.3">
      <c r="A4" s="2" t="s">
        <v>8</v>
      </c>
      <c r="B4" s="2">
        <v>0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ht="17.25" x14ac:dyDescent="0.3">
      <c r="A5" s="2" t="s">
        <v>17</v>
      </c>
      <c r="B5" s="2">
        <v>1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ht="17.25" x14ac:dyDescent="0.3">
      <c r="A6" s="2" t="s">
        <v>22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17.25" x14ac:dyDescent="0.3">
      <c r="A7" s="2" t="s">
        <v>18</v>
      </c>
      <c r="B7" s="9" t="b"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ht="17.25" x14ac:dyDescent="0.3">
      <c r="A8" s="2" t="s">
        <v>19</v>
      </c>
      <c r="B8" s="9" t="b"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ht="17.25" x14ac:dyDescent="0.3">
      <c r="A9" s="2" t="s">
        <v>20</v>
      </c>
      <c r="B9" s="9" t="b"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ht="17.25" x14ac:dyDescent="0.3">
      <c r="A10" s="2" t="s">
        <v>21</v>
      </c>
      <c r="B10" s="9" t="b">
        <v>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ht="17.25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ht="18" x14ac:dyDescent="0.35">
      <c r="A12" s="5" t="s">
        <v>23</v>
      </c>
      <c r="B12" s="2"/>
      <c r="C12" s="2"/>
      <c r="D12" s="2"/>
      <c r="E12" s="2"/>
      <c r="F12" s="2"/>
      <c r="G12" s="2"/>
      <c r="H12" s="2"/>
      <c r="I12" s="2" t="s">
        <v>10</v>
      </c>
      <c r="J12" s="2" t="s">
        <v>11</v>
      </c>
      <c r="K12" s="2" t="s">
        <v>12</v>
      </c>
      <c r="L12" s="2" t="s">
        <v>13</v>
      </c>
      <c r="M12" s="2"/>
      <c r="N12" s="2"/>
    </row>
    <row r="13" spans="1:14" ht="17.25" x14ac:dyDescent="0.3">
      <c r="A13" s="2" t="s">
        <v>4</v>
      </c>
      <c r="B13" s="10">
        <v>41559</v>
      </c>
      <c r="C13" s="2"/>
      <c r="D13" s="2"/>
      <c r="E13" s="2"/>
      <c r="F13" s="2"/>
      <c r="G13" s="2"/>
      <c r="H13" s="2" t="s">
        <v>14</v>
      </c>
      <c r="I13" s="2">
        <v>1</v>
      </c>
      <c r="J13" s="2">
        <v>0.5</v>
      </c>
      <c r="K13" s="2">
        <v>0.5</v>
      </c>
      <c r="L13" s="2">
        <v>0.3</v>
      </c>
      <c r="M13" s="2"/>
      <c r="N13" s="2"/>
    </row>
    <row r="14" spans="1:14" ht="17.25" x14ac:dyDescent="0.3">
      <c r="A14" s="2" t="s">
        <v>0</v>
      </c>
      <c r="B14" s="2">
        <f>B2</f>
        <v>1</v>
      </c>
      <c r="C14" s="2"/>
      <c r="D14" s="2"/>
      <c r="E14" s="2"/>
      <c r="F14" s="2"/>
      <c r="G14" s="2"/>
      <c r="H14" s="2" t="s">
        <v>16</v>
      </c>
      <c r="I14" s="3">
        <f>sabrCalibration(B17:N17,B18:N18,B14,B5,I13,J13,K13,L13,B7,B8,B9,B10)</f>
        <v>0.17976387454962525</v>
      </c>
      <c r="J14" s="3">
        <v>0.28078988682340683</v>
      </c>
      <c r="K14" s="3">
        <v>2.4635481273362556</v>
      </c>
      <c r="L14" s="3">
        <v>0.22781371837026482</v>
      </c>
      <c r="M14" s="2"/>
      <c r="N14" s="2"/>
    </row>
    <row r="15" spans="1:14" ht="17.25" x14ac:dyDescent="0.3">
      <c r="A15" s="2" t="s">
        <v>1</v>
      </c>
      <c r="B15" s="1">
        <v>0.224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ht="17.25" x14ac:dyDescent="0.3">
      <c r="A16" s="2" t="s">
        <v>3</v>
      </c>
      <c r="B16" s="8">
        <v>0.4</v>
      </c>
      <c r="C16" s="8">
        <v>0.5</v>
      </c>
      <c r="D16" s="8">
        <v>0.6</v>
      </c>
      <c r="E16" s="8">
        <v>0.7</v>
      </c>
      <c r="F16" s="8">
        <v>0.8</v>
      </c>
      <c r="G16" s="8">
        <v>0.9</v>
      </c>
      <c r="H16" s="8">
        <v>1</v>
      </c>
      <c r="I16" s="8">
        <v>1.1000000000000001</v>
      </c>
      <c r="J16" s="8">
        <v>1.2</v>
      </c>
      <c r="K16" s="8">
        <v>1.3</v>
      </c>
      <c r="L16" s="8">
        <v>1.4</v>
      </c>
      <c r="M16" s="8">
        <v>1.5</v>
      </c>
      <c r="N16" s="8">
        <v>1.6</v>
      </c>
    </row>
    <row r="17" spans="1:14" ht="17.25" x14ac:dyDescent="0.3">
      <c r="A17" s="2" t="s">
        <v>2</v>
      </c>
      <c r="B17" s="3">
        <f>$B$2*B16</f>
        <v>0.4</v>
      </c>
      <c r="C17" s="3">
        <f t="shared" ref="C17:N17" si="0">$B$2*C16</f>
        <v>0.5</v>
      </c>
      <c r="D17" s="3">
        <f t="shared" si="0"/>
        <v>0.6</v>
      </c>
      <c r="E17" s="3">
        <f t="shared" si="0"/>
        <v>0.7</v>
      </c>
      <c r="F17" s="3">
        <f t="shared" si="0"/>
        <v>0.8</v>
      </c>
      <c r="G17" s="3">
        <f t="shared" si="0"/>
        <v>0.9</v>
      </c>
      <c r="H17" s="3">
        <f t="shared" si="0"/>
        <v>1</v>
      </c>
      <c r="I17" s="3">
        <f t="shared" si="0"/>
        <v>1.1000000000000001</v>
      </c>
      <c r="J17" s="3">
        <f t="shared" si="0"/>
        <v>1.2</v>
      </c>
      <c r="K17" s="3">
        <f t="shared" si="0"/>
        <v>1.3</v>
      </c>
      <c r="L17" s="3">
        <f t="shared" si="0"/>
        <v>1.4</v>
      </c>
      <c r="M17" s="3">
        <f t="shared" si="0"/>
        <v>1.5</v>
      </c>
      <c r="N17" s="3">
        <f t="shared" si="0"/>
        <v>1.6</v>
      </c>
    </row>
    <row r="18" spans="1:14" ht="17.25" x14ac:dyDescent="0.3">
      <c r="A18" s="2" t="s">
        <v>9</v>
      </c>
      <c r="B18" s="1">
        <v>1.1000000000000001</v>
      </c>
      <c r="C18" s="1">
        <v>0.8</v>
      </c>
      <c r="D18" s="1">
        <v>0.75</v>
      </c>
      <c r="E18" s="1">
        <v>0.45</v>
      </c>
      <c r="F18" s="1">
        <v>0.38</v>
      </c>
      <c r="G18" s="1">
        <v>0.35</v>
      </c>
      <c r="H18" s="1">
        <v>0.3</v>
      </c>
      <c r="I18" s="1">
        <v>0.35</v>
      </c>
      <c r="J18" s="1">
        <v>0.4</v>
      </c>
      <c r="K18" s="1">
        <v>0.45</v>
      </c>
      <c r="L18" s="1">
        <v>0.5</v>
      </c>
      <c r="M18" s="1">
        <v>0.6</v>
      </c>
      <c r="N18" s="1">
        <v>0.75</v>
      </c>
    </row>
    <row r="19" spans="1:14" ht="17.25" x14ac:dyDescent="0.3">
      <c r="A19" s="2" t="s">
        <v>15</v>
      </c>
      <c r="B19" s="1">
        <f t="array" ref="B19:N19">sabrVolatilities(B17:N17,B14,B5,I14,J14,K14,L14)</f>
        <v>1.0465848150713981</v>
      </c>
      <c r="C19" s="1">
        <v>0.85261581474829362</v>
      </c>
      <c r="D19" s="1">
        <v>0.6887531436054265</v>
      </c>
      <c r="E19" s="1">
        <v>0.5455447348115614</v>
      </c>
      <c r="F19" s="1">
        <v>0.41779425197821823</v>
      </c>
      <c r="G19" s="1">
        <v>0.30760979779592962</v>
      </c>
      <c r="H19" s="1">
        <v>0.26500107342660484</v>
      </c>
      <c r="I19" s="1">
        <v>0.33631560515916581</v>
      </c>
      <c r="J19" s="1">
        <v>0.41907350362606222</v>
      </c>
      <c r="K19" s="1">
        <v>0.49237006203293265</v>
      </c>
      <c r="L19" s="1">
        <v>0.55671681096748693</v>
      </c>
      <c r="M19" s="1">
        <v>0.61376129893549136</v>
      </c>
      <c r="N19" s="1">
        <v>0.66485705436440612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SABR</vt:lpstr>
      <vt:lpstr>SVI</vt:lpstr>
      <vt:lpstr>Sample Market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wegamekinglc</cp:lastModifiedBy>
  <dcterms:created xsi:type="dcterms:W3CDTF">2015-01-25T11:31:25Z</dcterms:created>
  <dcterms:modified xsi:type="dcterms:W3CDTF">2017-06-16T12:17:43Z</dcterms:modified>
</cp:coreProperties>
</file>