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itHub\chinaquants\Finance-Python\excel\"/>
    </mc:Choice>
  </mc:AlternateContent>
  <bookViews>
    <workbookView xWindow="1335" yWindow="-20325" windowWidth="21270" windowHeight="12585" tabRatio="500"/>
  </bookViews>
  <sheets>
    <sheet name="SABR" sheetId="1" r:id="rId1"/>
    <sheet name="SVI" sheetId="2" r:id="rId2"/>
  </sheets>
  <functionGroups builtInGroupCount="18"/>
  <calcPr calcId="162913" calcOnSave="0"/>
  <extLst>
    <ext xmlns:x14="http://schemas.microsoft.com/office/spreadsheetml/2009/9/main" uri="{8193D73E-4604-4355-AFF4-8A2333D13BE4}">
      <x14:definedNames>
        <x14:definedName name="sabrCalibration">
          <x14:argumentDescriptions count="1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</x14:argumentDescriptions>
        </x14:definedName>
        <x14:definedName name="sabrVolatilities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sabrVolatility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1" l="1"/>
  <c r="D17" i="1"/>
  <c r="E17" i="1"/>
  <c r="F17" i="1"/>
  <c r="G17" i="1"/>
  <c r="H17" i="1"/>
  <c r="I17" i="1"/>
  <c r="J17" i="1"/>
  <c r="K17" i="1"/>
  <c r="L17" i="1"/>
  <c r="M17" i="1"/>
  <c r="N17" i="1"/>
  <c r="B17" i="1"/>
  <c r="I14" i="1" a="1"/>
  <c r="I14" i="1" l="1"/>
  <c r="B19" i="1" a="1"/>
  <c r="J19" i="1" l="1"/>
  <c r="B19" i="1"/>
  <c r="M19" i="1"/>
  <c r="F19" i="1"/>
  <c r="G19" i="1"/>
  <c r="C19" i="1"/>
  <c r="L19" i="1"/>
  <c r="N19" i="1"/>
  <c r="K19" i="1"/>
  <c r="I19" i="1"/>
  <c r="H19" i="1"/>
  <c r="D19" i="1"/>
  <c r="E19" i="1"/>
</calcChain>
</file>

<file path=xl/sharedStrings.xml><?xml version="1.0" encoding="utf-8"?>
<sst xmlns="http://schemas.openxmlformats.org/spreadsheetml/2006/main" count="24" uniqueCount="24">
  <si>
    <t>Fwd Price</t>
    <phoneticPr fontId="2" type="noConversion"/>
  </si>
  <si>
    <t>ATM Volatility</t>
    <phoneticPr fontId="2" type="noConversion"/>
  </si>
  <si>
    <t>Strike(K)</t>
    <phoneticPr fontId="2" type="noConversion"/>
  </si>
  <si>
    <t>Moneyness(K/S)</t>
    <phoneticPr fontId="2" type="noConversion"/>
  </si>
  <si>
    <t>Maturity</t>
    <phoneticPr fontId="2" type="noConversion"/>
  </si>
  <si>
    <t>Quote Date</t>
    <phoneticPr fontId="2" type="noConversion"/>
  </si>
  <si>
    <t>Sport Price</t>
    <phoneticPr fontId="2" type="noConversion"/>
  </si>
  <si>
    <t>Risk Free</t>
    <phoneticPr fontId="2" type="noConversion"/>
  </si>
  <si>
    <t>Divident Yield(q)</t>
    <phoneticPr fontId="2" type="noConversion"/>
  </si>
  <si>
    <t>ImpliedVol_Quotes</t>
    <phoneticPr fontId="2" type="noConversion"/>
  </si>
  <si>
    <t>Alpha</t>
    <phoneticPr fontId="2" type="noConversion"/>
  </si>
  <si>
    <t>Beta</t>
    <phoneticPr fontId="2" type="noConversion"/>
  </si>
  <si>
    <t>Nu</t>
    <phoneticPr fontId="2" type="noConversion"/>
  </si>
  <si>
    <t>Rho</t>
    <phoneticPr fontId="2" type="noConversion"/>
  </si>
  <si>
    <t>Initial Guess</t>
    <phoneticPr fontId="2" type="noConversion"/>
  </si>
  <si>
    <t>ImpliedVol_SABR</t>
    <phoneticPr fontId="2" type="noConversion"/>
  </si>
  <si>
    <t>Calibrated</t>
    <phoneticPr fontId="2" type="noConversion"/>
  </si>
  <si>
    <t>Expiry</t>
    <phoneticPr fontId="2" type="noConversion"/>
  </si>
  <si>
    <t>IsFixedAlpha</t>
    <phoneticPr fontId="2" type="noConversion"/>
  </si>
  <si>
    <t>IsFixedBeta</t>
    <phoneticPr fontId="2" type="noConversion"/>
  </si>
  <si>
    <t>IsFixedNu</t>
    <phoneticPr fontId="2" type="noConversion"/>
  </si>
  <si>
    <t>IsFixedRho</t>
    <phoneticPr fontId="2" type="noConversion"/>
  </si>
  <si>
    <t>Model Calibration Spec</t>
    <phoneticPr fontId="2" type="noConversion"/>
  </si>
  <si>
    <t>Build IV Skew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</si>
</sst>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0.00_);[Red]\(0.00\)"/>
    <numFmt numFmtId="178" formatCode="0.0000_);[Red]\(0.0000\)"/>
  </numFmts>
  <fonts count="5" x14ac:knownFonts="1">
    <font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1">
    <xf numFmtId="0" fontId="0" fillId="0" borderId="0" xfId="0"/>
    <xf numFmtId="10" fontId="3" fillId="0" borderId="0" xfId="2" applyNumberFormat="1" applyFont="1" applyAlignment="1">
      <alignment horizontal="right"/>
    </xf>
    <xf numFmtId="176" fontId="3" fillId="0" borderId="0" xfId="0" applyNumberFormat="1" applyFont="1" applyAlignment="1">
      <alignment horizontal="right"/>
    </xf>
    <xf numFmtId="176" fontId="3" fillId="0" borderId="0" xfId="1" applyNumberFormat="1" applyFont="1" applyAlignment="1">
      <alignment horizontal="right"/>
    </xf>
    <xf numFmtId="176" fontId="3" fillId="0" borderId="0" xfId="2" applyNumberFormat="1" applyFont="1" applyAlignment="1">
      <alignment horizontal="right"/>
    </xf>
    <xf numFmtId="176" fontId="4" fillId="2" borderId="0" xfId="0" applyNumberFormat="1" applyFont="1" applyFill="1" applyAlignment="1">
      <alignment horizontal="right"/>
    </xf>
    <xf numFmtId="178" fontId="3" fillId="0" borderId="0" xfId="0" applyNumberFormat="1" applyFont="1" applyAlignment="1">
      <alignment horizontal="right"/>
    </xf>
    <xf numFmtId="178" fontId="3" fillId="0" borderId="0" xfId="2" applyNumberFormat="1" applyFont="1" applyAlignment="1">
      <alignment horizontal="right"/>
    </xf>
    <xf numFmtId="9" fontId="3" fillId="0" borderId="0" xfId="2" applyFont="1" applyAlignment="1">
      <alignment horizontal="right"/>
    </xf>
    <xf numFmtId="176" fontId="3" fillId="3" borderId="0" xfId="0" applyNumberFormat="1" applyFont="1" applyFill="1" applyAlignment="1">
      <alignment horizontal="right"/>
    </xf>
    <xf numFmtId="14" fontId="3" fillId="0" borderId="0" xfId="0" applyNumberFormat="1" applyFont="1" applyAlignment="1">
      <alignment horizontal="right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SABR!$A$18</c:f>
              <c:strCache>
                <c:ptCount val="1"/>
                <c:pt idx="0">
                  <c:v>ImpliedVol_Quotes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SABR!$B$18:$N$18</c:f>
              <c:numCache>
                <c:formatCode>0.00%</c:formatCode>
                <c:ptCount val="13"/>
                <c:pt idx="0">
                  <c:v>0.57279999999999998</c:v>
                </c:pt>
                <c:pt idx="1">
                  <c:v>0.44579999999999997</c:v>
                </c:pt>
                <c:pt idx="2">
                  <c:v>0.35870000000000002</c:v>
                </c:pt>
                <c:pt idx="3">
                  <c:v>0.29970000000000002</c:v>
                </c:pt>
                <c:pt idx="4">
                  <c:v>0.26079999999999998</c:v>
                </c:pt>
                <c:pt idx="5">
                  <c:v>0.2369</c:v>
                </c:pt>
                <c:pt idx="6">
                  <c:v>0.224</c:v>
                </c:pt>
                <c:pt idx="7">
                  <c:v>0.21940000000000001</c:v>
                </c:pt>
                <c:pt idx="8">
                  <c:v>0.22120000000000001</c:v>
                </c:pt>
                <c:pt idx="9">
                  <c:v>0.22770000000000001</c:v>
                </c:pt>
                <c:pt idx="10">
                  <c:v>0.23810000000000001</c:v>
                </c:pt>
                <c:pt idx="11">
                  <c:v>0.25140000000000001</c:v>
                </c:pt>
                <c:pt idx="12">
                  <c:v>0.2671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6-47DC-94C3-5B5B7B5C3E4C}"/>
            </c:ext>
          </c:extLst>
        </c:ser>
        <c:ser>
          <c:idx val="1"/>
          <c:order val="1"/>
          <c:tx>
            <c:strRef>
              <c:f>SABR!$A$19</c:f>
              <c:strCache>
                <c:ptCount val="1"/>
                <c:pt idx="0">
                  <c:v>ImpliedVol_SABR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SABR!$B$16:$N$16</c:f>
              <c:numCache>
                <c:formatCode>0%</c:formatCode>
                <c:ptCount val="13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0.7</c:v>
                </c:pt>
                <c:pt idx="4">
                  <c:v>0.8</c:v>
                </c:pt>
                <c:pt idx="5">
                  <c:v>0.9</c:v>
                </c:pt>
                <c:pt idx="6">
                  <c:v>1</c:v>
                </c:pt>
                <c:pt idx="7">
                  <c:v>1.1000000000000001</c:v>
                </c:pt>
                <c:pt idx="8">
                  <c:v>1.2</c:v>
                </c:pt>
                <c:pt idx="9">
                  <c:v>1.3</c:v>
                </c:pt>
                <c:pt idx="10">
                  <c:v>1.4</c:v>
                </c:pt>
                <c:pt idx="11">
                  <c:v>1.5</c:v>
                </c:pt>
                <c:pt idx="12">
                  <c:v>1.6</c:v>
                </c:pt>
              </c:numCache>
            </c:numRef>
          </c:cat>
          <c:val>
            <c:numRef>
              <c:f>SABR!$B$19:$N$19</c:f>
              <c:numCache>
                <c:formatCode>0.00%</c:formatCode>
                <c:ptCount val="13"/>
                <c:pt idx="0">
                  <c:v>0.52235777904988834</c:v>
                </c:pt>
                <c:pt idx="1">
                  <c:v>0.44894564880427879</c:v>
                </c:pt>
                <c:pt idx="2">
                  <c:v>0.38636308829130445</c:v>
                </c:pt>
                <c:pt idx="3">
                  <c:v>0.33141538711539942</c:v>
                </c:pt>
                <c:pt idx="4">
                  <c:v>0.28264395550850946</c:v>
                </c:pt>
                <c:pt idx="5">
                  <c:v>0.24048640393290022</c:v>
                </c:pt>
                <c:pt idx="6">
                  <c:v>0.20916090121103251</c:v>
                </c:pt>
                <c:pt idx="7">
                  <c:v>0.19744419568000465</c:v>
                </c:pt>
                <c:pt idx="8">
                  <c:v>0.20572133169519968</c:v>
                </c:pt>
                <c:pt idx="9">
                  <c:v>0.22323084734304838</c:v>
                </c:pt>
                <c:pt idx="10">
                  <c:v>0.24306708897588342</c:v>
                </c:pt>
                <c:pt idx="11">
                  <c:v>0.26280885866145487</c:v>
                </c:pt>
                <c:pt idx="12">
                  <c:v>0.28171147334923469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6-47DC-94C3-5B5B7B5C3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583528"/>
        <c:axId val="363586152"/>
      </c:lineChart>
      <c:catAx>
        <c:axId val="363583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Moneyness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6152"/>
        <c:crosses val="autoZero"/>
        <c:auto val="1"/>
        <c:lblAlgn val="ctr"/>
        <c:lblOffset val="100"/>
        <c:noMultiLvlLbl val="0"/>
      </c:catAx>
      <c:valAx>
        <c:axId val="36358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微软雅黑" panose="020B0503020204020204" pitchFamily="34" charset="-122"/>
                  <a:ea typeface="微软雅黑" panose="020B0503020204020204" pitchFamily="34" charset="-122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endParaRPr lang="zh-CN"/>
          </a:p>
        </c:txPr>
        <c:crossAx val="363583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微软雅黑" panose="020B0503020204020204" pitchFamily="34" charset="-122"/>
          <a:ea typeface="微软雅黑" panose="020B0503020204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962024</xdr:colOff>
      <xdr:row>21</xdr:row>
      <xdr:rowOff>28575</xdr:rowOff>
    </xdr:from>
    <xdr:to>
      <xdr:col>8</xdr:col>
      <xdr:colOff>295274</xdr:colOff>
      <xdr:row>43</xdr:row>
      <xdr:rowOff>47625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F376C69-A3EB-4D93-88C2-84F15E70E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"/>
  <sheetViews>
    <sheetView tabSelected="1" topLeftCell="A4" workbookViewId="0">
      <selection activeCell="K27" sqref="K27"/>
    </sheetView>
  </sheetViews>
  <sheetFormatPr defaultColWidth="11" defaultRowHeight="17.25" x14ac:dyDescent="0.3"/>
  <cols>
    <col min="1" max="1" width="25.5" style="2" bestFit="1" customWidth="1"/>
    <col min="2" max="2" width="12.75" style="2" bestFit="1" customWidth="1"/>
    <col min="3" max="7" width="11" style="2"/>
    <col min="8" max="8" width="13.625" style="2" bestFit="1" customWidth="1"/>
    <col min="9" max="9" width="10.75" style="2" bestFit="1" customWidth="1"/>
    <col min="10" max="16384" width="11" style="2"/>
  </cols>
  <sheetData>
    <row r="1" spans="1:14" x14ac:dyDescent="0.3">
      <c r="A1" s="2" t="s">
        <v>5</v>
      </c>
      <c r="B1" s="10">
        <v>41194</v>
      </c>
    </row>
    <row r="2" spans="1:14" x14ac:dyDescent="0.3">
      <c r="A2" s="2" t="s">
        <v>6</v>
      </c>
      <c r="B2" s="2">
        <v>2304.5300000000002</v>
      </c>
    </row>
    <row r="3" spans="1:14" x14ac:dyDescent="0.3">
      <c r="A3" s="2" t="s">
        <v>7</v>
      </c>
      <c r="B3" s="2">
        <v>3.5000000000000003E-2</v>
      </c>
    </row>
    <row r="4" spans="1:14" x14ac:dyDescent="0.3">
      <c r="A4" s="2" t="s">
        <v>8</v>
      </c>
      <c r="B4" s="2">
        <v>1.37E-2</v>
      </c>
    </row>
    <row r="5" spans="1:14" x14ac:dyDescent="0.3">
      <c r="A5" s="2" t="s">
        <v>17</v>
      </c>
      <c r="B5" s="2">
        <v>3</v>
      </c>
    </row>
    <row r="6" spans="1:14" x14ac:dyDescent="0.3">
      <c r="A6" s="2" t="s">
        <v>22</v>
      </c>
    </row>
    <row r="7" spans="1:14" x14ac:dyDescent="0.3">
      <c r="A7" s="2" t="s">
        <v>18</v>
      </c>
      <c r="B7" s="9" t="b">
        <v>0</v>
      </c>
    </row>
    <row r="8" spans="1:14" x14ac:dyDescent="0.3">
      <c r="A8" s="2" t="s">
        <v>19</v>
      </c>
      <c r="B8" s="9" t="b">
        <v>1</v>
      </c>
    </row>
    <row r="9" spans="1:14" x14ac:dyDescent="0.3">
      <c r="A9" s="2" t="s">
        <v>20</v>
      </c>
      <c r="B9" s="9" t="b">
        <v>0</v>
      </c>
    </row>
    <row r="10" spans="1:14" x14ac:dyDescent="0.3">
      <c r="A10" s="2" t="s">
        <v>21</v>
      </c>
      <c r="B10" s="9" t="b">
        <v>0</v>
      </c>
    </row>
    <row r="12" spans="1:14" ht="18" x14ac:dyDescent="0.35">
      <c r="A12" s="5" t="s">
        <v>23</v>
      </c>
      <c r="I12" s="2" t="s">
        <v>10</v>
      </c>
      <c r="J12" s="2" t="s">
        <v>11</v>
      </c>
      <c r="K12" s="2" t="s">
        <v>12</v>
      </c>
      <c r="L12" s="2" t="s">
        <v>13</v>
      </c>
    </row>
    <row r="13" spans="1:14" x14ac:dyDescent="0.3">
      <c r="A13" s="2" t="s">
        <v>4</v>
      </c>
      <c r="B13" s="10">
        <v>41559</v>
      </c>
      <c r="H13" s="2" t="s">
        <v>14</v>
      </c>
      <c r="I13" s="2">
        <v>0.2</v>
      </c>
      <c r="J13" s="2">
        <v>1</v>
      </c>
      <c r="K13" s="2">
        <v>0.15</v>
      </c>
      <c r="L13" s="2">
        <v>0.3</v>
      </c>
    </row>
    <row r="14" spans="1:14" x14ac:dyDescent="0.3">
      <c r="A14" s="2" t="s">
        <v>0</v>
      </c>
      <c r="B14" s="2">
        <v>2354.143</v>
      </c>
      <c r="H14" s="2" t="s">
        <v>16</v>
      </c>
      <c r="I14" s="3">
        <f t="array" ref="I14">sabrCalibration(B17:N17,B18:N18,B14,B5,I13,J13,K13,L13,B7,B8,B9,B10)</f>
        <v>0.17176243044583658</v>
      </c>
      <c r="J14" s="3">
        <v>1</v>
      </c>
      <c r="K14" s="3">
        <v>1.0385298773225546</v>
      </c>
      <c r="L14" s="3">
        <v>-0.30358213724702732</v>
      </c>
    </row>
    <row r="15" spans="1:14" x14ac:dyDescent="0.3">
      <c r="A15" s="2" t="s">
        <v>1</v>
      </c>
      <c r="B15" s="1">
        <v>0.224</v>
      </c>
    </row>
    <row r="16" spans="1:14" x14ac:dyDescent="0.3">
      <c r="A16" s="2" t="s">
        <v>3</v>
      </c>
      <c r="B16" s="8">
        <v>0.4</v>
      </c>
      <c r="C16" s="8">
        <v>0.5</v>
      </c>
      <c r="D16" s="8">
        <v>0.6</v>
      </c>
      <c r="E16" s="8">
        <v>0.7</v>
      </c>
      <c r="F16" s="8">
        <v>0.8</v>
      </c>
      <c r="G16" s="8">
        <v>0.9</v>
      </c>
      <c r="H16" s="8">
        <v>1</v>
      </c>
      <c r="I16" s="8">
        <v>1.1000000000000001</v>
      </c>
      <c r="J16" s="8">
        <v>1.2</v>
      </c>
      <c r="K16" s="8">
        <v>1.3</v>
      </c>
      <c r="L16" s="8">
        <v>1.4</v>
      </c>
      <c r="M16" s="8">
        <v>1.5</v>
      </c>
      <c r="N16" s="8">
        <v>1.6</v>
      </c>
    </row>
    <row r="17" spans="1:14" x14ac:dyDescent="0.3">
      <c r="A17" s="2" t="s">
        <v>2</v>
      </c>
      <c r="B17" s="3">
        <f>$B$2*B16</f>
        <v>921.81200000000013</v>
      </c>
      <c r="C17" s="3">
        <f t="shared" ref="C17:N17" si="0">$B$2*C16</f>
        <v>1152.2650000000001</v>
      </c>
      <c r="D17" s="3">
        <f t="shared" si="0"/>
        <v>1382.7180000000001</v>
      </c>
      <c r="E17" s="3">
        <f t="shared" si="0"/>
        <v>1613.171</v>
      </c>
      <c r="F17" s="3">
        <f t="shared" si="0"/>
        <v>1843.6240000000003</v>
      </c>
      <c r="G17" s="3">
        <f t="shared" si="0"/>
        <v>2074.0770000000002</v>
      </c>
      <c r="H17" s="3">
        <f t="shared" si="0"/>
        <v>2304.5300000000002</v>
      </c>
      <c r="I17" s="3">
        <f t="shared" si="0"/>
        <v>2534.9830000000006</v>
      </c>
      <c r="J17" s="3">
        <f t="shared" si="0"/>
        <v>2765.4360000000001</v>
      </c>
      <c r="K17" s="3">
        <f t="shared" si="0"/>
        <v>2995.8890000000006</v>
      </c>
      <c r="L17" s="3">
        <f t="shared" si="0"/>
        <v>3226.3420000000001</v>
      </c>
      <c r="M17" s="3">
        <f t="shared" si="0"/>
        <v>3456.7950000000001</v>
      </c>
      <c r="N17" s="3">
        <f t="shared" si="0"/>
        <v>3687.2480000000005</v>
      </c>
    </row>
    <row r="18" spans="1:14" x14ac:dyDescent="0.3">
      <c r="A18" s="2" t="s">
        <v>9</v>
      </c>
      <c r="B18" s="1">
        <v>0.57279999999999998</v>
      </c>
      <c r="C18" s="1">
        <v>0.44579999999999997</v>
      </c>
      <c r="D18" s="1">
        <v>0.35870000000000002</v>
      </c>
      <c r="E18" s="1">
        <v>0.29970000000000002</v>
      </c>
      <c r="F18" s="1">
        <v>0.26079999999999998</v>
      </c>
      <c r="G18" s="1">
        <v>0.2369</v>
      </c>
      <c r="H18" s="1">
        <v>0.224</v>
      </c>
      <c r="I18" s="1">
        <v>0.21940000000000001</v>
      </c>
      <c r="J18" s="1">
        <v>0.22120000000000001</v>
      </c>
      <c r="K18" s="1">
        <v>0.22770000000000001</v>
      </c>
      <c r="L18" s="1">
        <v>0.23810000000000001</v>
      </c>
      <c r="M18" s="1">
        <v>0.25140000000000001</v>
      </c>
      <c r="N18" s="1">
        <v>0.2671</v>
      </c>
    </row>
    <row r="19" spans="1:14" x14ac:dyDescent="0.3">
      <c r="A19" s="2" t="s">
        <v>15</v>
      </c>
      <c r="B19" s="1">
        <f t="array" ref="B19:N19">sabrVolatilities(B17:N17,B14,B5,I14,J14,K14,L14)</f>
        <v>0.52235777904988834</v>
      </c>
      <c r="C19" s="1">
        <v>0.44894564880427879</v>
      </c>
      <c r="D19" s="1">
        <v>0.38636308829130445</v>
      </c>
      <c r="E19" s="1">
        <v>0.33141538711539942</v>
      </c>
      <c r="F19" s="1">
        <v>0.28264395550850946</v>
      </c>
      <c r="G19" s="1">
        <v>0.24048640393290022</v>
      </c>
      <c r="H19" s="1">
        <v>0.20916090121103251</v>
      </c>
      <c r="I19" s="1">
        <v>0.19744419568000465</v>
      </c>
      <c r="J19" s="1">
        <v>0.20572133169519968</v>
      </c>
      <c r="K19" s="1">
        <v>0.22323084734304838</v>
      </c>
      <c r="L19" s="1">
        <v>0.24306708897588342</v>
      </c>
      <c r="M19" s="1">
        <v>0.26280885866145487</v>
      </c>
      <c r="N19" s="1">
        <v>0.28171147334923469</v>
      </c>
    </row>
    <row r="20" spans="1:14" x14ac:dyDescent="0.3">
      <c r="B20" s="4"/>
      <c r="C20" s="4"/>
      <c r="D20" s="4"/>
      <c r="E20" s="4"/>
      <c r="F20" s="4"/>
      <c r="G20" s="4"/>
      <c r="H20" s="7"/>
      <c r="I20" s="4"/>
      <c r="J20" s="4"/>
      <c r="K20" s="4"/>
      <c r="L20" s="4"/>
      <c r="M20" s="4"/>
      <c r="N20" s="4"/>
    </row>
    <row r="24" spans="1:14" x14ac:dyDescent="0.3">
      <c r="H24" s="6"/>
    </row>
  </sheetData>
  <phoneticPr fontId="2" type="noConversion"/>
  <pageMargins left="0.75" right="0.75" top="1" bottom="1" header="0.5" footer="0.5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SABR</vt:lpstr>
      <vt:lpstr>SVI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wegamekinglc</cp:lastModifiedBy>
  <dcterms:created xsi:type="dcterms:W3CDTF">2015-01-25T11:31:25Z</dcterms:created>
  <dcterms:modified xsi:type="dcterms:W3CDTF">2017-01-07T14:55:40Z</dcterms:modified>
</cp:coreProperties>
</file>